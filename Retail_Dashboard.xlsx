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New folder (4)\"/>
    </mc:Choice>
  </mc:AlternateContent>
  <xr:revisionPtr revIDLastSave="0" documentId="13_ncr:1_{DB4CCF8E-727B-4662-A951-DDEFA8D95D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KPI" sheetId="2" r:id="rId2"/>
    <sheet name="Region" sheetId="3" r:id="rId3"/>
    <sheet name="Category" sheetId="4" r:id="rId4"/>
    <sheet name="Customer" sheetId="5" r:id="rId5"/>
    <sheet name="Monthly Sales" sheetId="6" r:id="rId6"/>
    <sheet name="Discoun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6" l="1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3" i="6"/>
</calcChain>
</file>

<file path=xl/sharedStrings.xml><?xml version="1.0" encoding="utf-8"?>
<sst xmlns="http://schemas.openxmlformats.org/spreadsheetml/2006/main" count="36" uniqueCount="30">
  <si>
    <t>Total_Sales</t>
  </si>
  <si>
    <t>Total_Profit</t>
  </si>
  <si>
    <t>Total_Orders</t>
  </si>
  <si>
    <t>Total_Customers</t>
  </si>
  <si>
    <t>Average_Order_Value</t>
  </si>
  <si>
    <t>Region</t>
  </si>
  <si>
    <t>West</t>
  </si>
  <si>
    <t>East</t>
  </si>
  <si>
    <t>Central</t>
  </si>
  <si>
    <t>South</t>
  </si>
  <si>
    <t>Category</t>
  </si>
  <si>
    <t>Technology</t>
  </si>
  <si>
    <t>Furniture</t>
  </si>
  <si>
    <t>Office Supplies</t>
  </si>
  <si>
    <t>Segment</t>
  </si>
  <si>
    <t>Consumer</t>
  </si>
  <si>
    <t>Corporate</t>
  </si>
  <si>
    <t>Home Office</t>
  </si>
  <si>
    <t>Sales_Year</t>
  </si>
  <si>
    <t>Sales_Month</t>
  </si>
  <si>
    <t>Monthly_Sales</t>
  </si>
  <si>
    <t>Discount</t>
  </si>
  <si>
    <t>Average_Profit</t>
  </si>
  <si>
    <t>Retail Sales Analytics Dashboard</t>
  </si>
  <si>
    <t>Total Sales</t>
  </si>
  <si>
    <t>Total Profit</t>
  </si>
  <si>
    <t>Total Orders</t>
  </si>
  <si>
    <t>Total Customers</t>
  </si>
  <si>
    <t>Average Order Value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</si>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</sst>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[$₹-4009]\ * #,##0.00_ ;_ [$₹-4009]\ * \-#,##0.00_ ;_ [$₹-4009]\ * &quot;-&quot;??_ ;_ @_ "/>
    <numFmt numFmtId="168" formatCode="mmm/yyyy"/>
    <numFmt numFmtId="172" formatCode="_ [$₹-4009]\ * #,##0_ ;_ [$₹-4009]\ * \-#,##0_ ;_ [$₹-4009]\ * &quot;-&quot;??_ ;_ @_ "/>
  </numFmts>
  <fonts count="4" x14ac:knownFonts="1">
    <font>
      <sz val="11"/>
      <color theme="1"/>
      <name val="Calibri"/>
      <family val="2"/>
      <scheme val="minor"/>
    </font>
    <font>
      <b/>
      <sz val="24"/>
      <color theme="1"/>
      <name val="Aptos"/>
      <family val="2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3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68" fontId="0" fillId="0" borderId="0" xfId="0" applyNumberFormat="1"/>
    <xf numFmtId="0" fontId="3" fillId="4" borderId="3" xfId="0" applyNumberFormat="1" applyFont="1" applyFill="1" applyBorder="1" applyAlignment="1">
      <alignment horizontal="center"/>
    </xf>
    <xf numFmtId="0" fontId="3" fillId="4" borderId="4" xfId="0" applyNumberFormat="1" applyFont="1" applyFill="1" applyBorder="1" applyAlignment="1">
      <alignment horizontal="center"/>
    </xf>
    <xf numFmtId="172" fontId="3" fillId="4" borderId="3" xfId="0" applyNumberFormat="1" applyFont="1" applyFill="1" applyBorder="1" applyAlignment="1">
      <alignment horizontal="center"/>
    </xf>
    <xf numFmtId="172" fontId="3" fillId="4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Region!$C$2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Region!$B$3:$B$6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Region!$C$3:$C$6</c:f>
              <c:numCache>
                <c:formatCode>General</c:formatCode>
                <c:ptCount val="4"/>
                <c:pt idx="0">
                  <c:v>725457.82</c:v>
                </c:pt>
                <c:pt idx="1">
                  <c:v>678781.24</c:v>
                </c:pt>
                <c:pt idx="2">
                  <c:v>501239.89</c:v>
                </c:pt>
                <c:pt idx="3">
                  <c:v>391721.91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92-4051-98BC-8DBEFEA17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3123807"/>
        <c:axId val="1973119487"/>
      </c:barChart>
      <c:catAx>
        <c:axId val="197312380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119487"/>
        <c:crosses val="autoZero"/>
        <c:auto val="1"/>
        <c:lblAlgn val="ctr"/>
        <c:lblOffset val="100"/>
        <c:noMultiLvlLbl val="0"/>
      </c:catAx>
      <c:valAx>
        <c:axId val="197311948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123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</a:t>
            </a:r>
            <a:r>
              <a:rPr lang="en-US" baseline="0"/>
              <a:t>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Category!$C$2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Category!$B$3:$B$5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Category!$C$3:$C$5</c:f>
              <c:numCache>
                <c:formatCode>General</c:formatCode>
                <c:ptCount val="3"/>
                <c:pt idx="0">
                  <c:v>836154.03</c:v>
                </c:pt>
                <c:pt idx="1">
                  <c:v>741999.79</c:v>
                </c:pt>
                <c:pt idx="2">
                  <c:v>719047.03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44-442F-81CD-F5AF12E21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858255"/>
        <c:axId val="149852495"/>
      </c:barChart>
      <c:catAx>
        <c:axId val="14985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52495"/>
        <c:crosses val="autoZero"/>
        <c:auto val="1"/>
        <c:lblAlgn val="ctr"/>
        <c:lblOffset val="100"/>
        <c:noMultiLvlLbl val="0"/>
      </c:catAx>
      <c:valAx>
        <c:axId val="14985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5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Customer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Customer!$C$2</c:f>
              <c:strCache>
                <c:ptCount val="1"/>
                <c:pt idx="0">
                  <c:v>Total_Sales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E8-492B-90DB-99590AC2EE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E8-492B-90DB-99590AC2EE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E8-492B-90DB-99590AC2EE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Customer!$B$3:$B$5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Customer!$C$3:$C$5</c:f>
              <c:numCache>
                <c:formatCode>General</c:formatCode>
                <c:ptCount val="3"/>
                <c:pt idx="0">
                  <c:v>1161401.3400000001</c:v>
                </c:pt>
                <c:pt idx="1">
                  <c:v>706146.36</c:v>
                </c:pt>
                <c:pt idx="2">
                  <c:v>429653.15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E8-492B-90DB-99590AC2E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Sales'!$D$2</c:f>
              <c:strCache>
                <c:ptCount val="1"/>
                <c:pt idx="0">
                  <c:v>Monthly_Sales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'Monthly Sales'!$E$3:$E$49</c:f>
              <c:numCache>
                <c:formatCode>mmm/yyyy</c:formatCode>
                <c:ptCount val="47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</c:numCache>
            </c:numRef>
          </c:cat>
          <c:val>
            <c:numRef>
              <c:f>'Monthly Sales'!$D$3:$D$50</c:f>
              <c:numCache>
                <c:formatCode>General</c:formatCode>
                <c:ptCount val="48"/>
                <c:pt idx="0">
                  <c:v>14236.89</c:v>
                </c:pt>
                <c:pt idx="1">
                  <c:v>4519.8900000000003</c:v>
                </c:pt>
                <c:pt idx="2">
                  <c:v>55691.01</c:v>
                </c:pt>
                <c:pt idx="3">
                  <c:v>28295.34</c:v>
                </c:pt>
                <c:pt idx="4">
                  <c:v>23648.29</c:v>
                </c:pt>
                <c:pt idx="5">
                  <c:v>34595.129999999997</c:v>
                </c:pt>
                <c:pt idx="6">
                  <c:v>33946.39</c:v>
                </c:pt>
                <c:pt idx="7">
                  <c:v>27909.47</c:v>
                </c:pt>
                <c:pt idx="8">
                  <c:v>81777.350000000006</c:v>
                </c:pt>
                <c:pt idx="9">
                  <c:v>31453.39</c:v>
                </c:pt>
                <c:pt idx="10">
                  <c:v>78628.72</c:v>
                </c:pt>
                <c:pt idx="11">
                  <c:v>69545.62</c:v>
                </c:pt>
                <c:pt idx="12">
                  <c:v>18174.080000000002</c:v>
                </c:pt>
                <c:pt idx="13">
                  <c:v>11951.41</c:v>
                </c:pt>
                <c:pt idx="14">
                  <c:v>38726.25</c:v>
                </c:pt>
                <c:pt idx="15">
                  <c:v>34195.21</c:v>
                </c:pt>
                <c:pt idx="16">
                  <c:v>30131.69</c:v>
                </c:pt>
                <c:pt idx="17">
                  <c:v>24797.29</c:v>
                </c:pt>
                <c:pt idx="18">
                  <c:v>28765.32</c:v>
                </c:pt>
                <c:pt idx="19">
                  <c:v>36898.33</c:v>
                </c:pt>
                <c:pt idx="20">
                  <c:v>64595.92</c:v>
                </c:pt>
                <c:pt idx="21">
                  <c:v>31404.92</c:v>
                </c:pt>
                <c:pt idx="22">
                  <c:v>75972.56</c:v>
                </c:pt>
                <c:pt idx="23">
                  <c:v>74919.520000000004</c:v>
                </c:pt>
                <c:pt idx="24">
                  <c:v>18542.490000000002</c:v>
                </c:pt>
                <c:pt idx="25">
                  <c:v>22978.82</c:v>
                </c:pt>
                <c:pt idx="26">
                  <c:v>51715.88</c:v>
                </c:pt>
                <c:pt idx="27">
                  <c:v>38750.04</c:v>
                </c:pt>
                <c:pt idx="28">
                  <c:v>56987.73</c:v>
                </c:pt>
                <c:pt idx="29">
                  <c:v>40344.53</c:v>
                </c:pt>
                <c:pt idx="30">
                  <c:v>39261.96</c:v>
                </c:pt>
                <c:pt idx="31">
                  <c:v>31115.37</c:v>
                </c:pt>
                <c:pt idx="32">
                  <c:v>73410.02</c:v>
                </c:pt>
                <c:pt idx="33">
                  <c:v>59687.74</c:v>
                </c:pt>
                <c:pt idx="34">
                  <c:v>79411.97</c:v>
                </c:pt>
                <c:pt idx="35">
                  <c:v>96999.039999999994</c:v>
                </c:pt>
                <c:pt idx="36">
                  <c:v>43971.37</c:v>
                </c:pt>
                <c:pt idx="37">
                  <c:v>20301.13</c:v>
                </c:pt>
                <c:pt idx="38">
                  <c:v>58872.35</c:v>
                </c:pt>
                <c:pt idx="39">
                  <c:v>36521.54</c:v>
                </c:pt>
                <c:pt idx="40">
                  <c:v>44261.11</c:v>
                </c:pt>
                <c:pt idx="41">
                  <c:v>52981.73</c:v>
                </c:pt>
                <c:pt idx="42">
                  <c:v>45264.42</c:v>
                </c:pt>
                <c:pt idx="43">
                  <c:v>63120.89</c:v>
                </c:pt>
                <c:pt idx="44">
                  <c:v>87866.65</c:v>
                </c:pt>
                <c:pt idx="45">
                  <c:v>77776.92</c:v>
                </c:pt>
                <c:pt idx="46">
                  <c:v>118447.82</c:v>
                </c:pt>
                <c:pt idx="47">
                  <c:v>83829.320000000007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D7-4BF1-952F-F3F07B4C2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081087"/>
        <c:axId val="15908156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'Monthly Sales'!$E$2</c15:sqref>
                        </c15:formulaRef>
                      </c:ext>
                    </c:extLst>
                    <c:strCache>
                      <c:ptCount val="1"/>
                      <c:pt idx="0">
                        <c:v>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'Monthly Sales'!$E$3:$E$49</c15:sqref>
                        </c15:formulaRef>
                      </c:ext>
                    </c:extLst>
                    <c:numCache>
                      <c:formatCode>mmm/yyyy</c:formatCode>
                      <c:ptCount val="47"/>
                      <c:pt idx="0">
                        <c:v>41640</c:v>
                      </c:pt>
                      <c:pt idx="1">
                        <c:v>41671</c:v>
                      </c:pt>
                      <c:pt idx="2">
                        <c:v>41699</c:v>
                      </c:pt>
                      <c:pt idx="3">
                        <c:v>41730</c:v>
                      </c:pt>
                      <c:pt idx="4">
                        <c:v>41760</c:v>
                      </c:pt>
                      <c:pt idx="5">
                        <c:v>41791</c:v>
                      </c:pt>
                      <c:pt idx="6">
                        <c:v>41821</c:v>
                      </c:pt>
                      <c:pt idx="7">
                        <c:v>41852</c:v>
                      </c:pt>
                      <c:pt idx="8">
                        <c:v>41883</c:v>
                      </c:pt>
                      <c:pt idx="9">
                        <c:v>41913</c:v>
                      </c:pt>
                      <c:pt idx="10">
                        <c:v>41944</c:v>
                      </c:pt>
                      <c:pt idx="11">
                        <c:v>41974</c:v>
                      </c:pt>
                      <c:pt idx="12">
                        <c:v>42005</c:v>
                      </c:pt>
                      <c:pt idx="13">
                        <c:v>42036</c:v>
                      </c:pt>
                      <c:pt idx="14">
                        <c:v>42064</c:v>
                      </c:pt>
                      <c:pt idx="15">
                        <c:v>42095</c:v>
                      </c:pt>
                      <c:pt idx="16">
                        <c:v>42125</c:v>
                      </c:pt>
                      <c:pt idx="17">
                        <c:v>42156</c:v>
                      </c:pt>
                      <c:pt idx="18">
                        <c:v>42186</c:v>
                      </c:pt>
                      <c:pt idx="19">
                        <c:v>42217</c:v>
                      </c:pt>
                      <c:pt idx="20">
                        <c:v>42248</c:v>
                      </c:pt>
                      <c:pt idx="21">
                        <c:v>42278</c:v>
                      </c:pt>
                      <c:pt idx="22">
                        <c:v>42309</c:v>
                      </c:pt>
                      <c:pt idx="23">
                        <c:v>42339</c:v>
                      </c:pt>
                      <c:pt idx="24">
                        <c:v>42370</c:v>
                      </c:pt>
                      <c:pt idx="25">
                        <c:v>42401</c:v>
                      </c:pt>
                      <c:pt idx="26">
                        <c:v>42430</c:v>
                      </c:pt>
                      <c:pt idx="27">
                        <c:v>42461</c:v>
                      </c:pt>
                      <c:pt idx="28">
                        <c:v>42491</c:v>
                      </c:pt>
                      <c:pt idx="29">
                        <c:v>42522</c:v>
                      </c:pt>
                      <c:pt idx="30">
                        <c:v>42552</c:v>
                      </c:pt>
                      <c:pt idx="31">
                        <c:v>42583</c:v>
                      </c:pt>
                      <c:pt idx="32">
                        <c:v>42614</c:v>
                      </c:pt>
                      <c:pt idx="33">
                        <c:v>42644</c:v>
                      </c:pt>
                      <c:pt idx="34">
                        <c:v>42675</c:v>
                      </c:pt>
                      <c:pt idx="35">
                        <c:v>42705</c:v>
                      </c:pt>
                      <c:pt idx="36">
                        <c:v>42736</c:v>
                      </c:pt>
                      <c:pt idx="37">
                        <c:v>42767</c:v>
                      </c:pt>
                      <c:pt idx="38">
                        <c:v>42795</c:v>
                      </c:pt>
                      <c:pt idx="39">
                        <c:v>42826</c:v>
                      </c:pt>
                      <c:pt idx="40">
                        <c:v>42856</c:v>
                      </c:pt>
                      <c:pt idx="41">
                        <c:v>42887</c:v>
                      </c:pt>
                      <c:pt idx="42">
                        <c:v>42917</c:v>
                      </c:pt>
                      <c:pt idx="43">
                        <c:v>42948</c:v>
                      </c:pt>
                      <c:pt idx="44">
                        <c:v>42979</c:v>
                      </c:pt>
                      <c:pt idx="45">
                        <c:v>43009</c:v>
                      </c:pt>
                      <c:pt idx="46">
                        <c:v>43040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'Monthly Sales'!$E$3:$E$50</c15:sqref>
                        </c15:formulaRef>
                      </c:ext>
                    </c:extLst>
                    <c:numCache>
                      <c:formatCode>mmm/yyyy</c:formatCode>
                      <c:ptCount val="48"/>
                      <c:pt idx="0">
                        <c:v>41640</c:v>
                      </c:pt>
                      <c:pt idx="1">
                        <c:v>41671</c:v>
                      </c:pt>
                      <c:pt idx="2">
                        <c:v>41699</c:v>
                      </c:pt>
                      <c:pt idx="3">
                        <c:v>41730</c:v>
                      </c:pt>
                      <c:pt idx="4">
                        <c:v>41760</c:v>
                      </c:pt>
                      <c:pt idx="5">
                        <c:v>41791</c:v>
                      </c:pt>
                      <c:pt idx="6">
                        <c:v>41821</c:v>
                      </c:pt>
                      <c:pt idx="7">
                        <c:v>41852</c:v>
                      </c:pt>
                      <c:pt idx="8">
                        <c:v>41883</c:v>
                      </c:pt>
                      <c:pt idx="9">
                        <c:v>41913</c:v>
                      </c:pt>
                      <c:pt idx="10">
                        <c:v>41944</c:v>
                      </c:pt>
                      <c:pt idx="11">
                        <c:v>41974</c:v>
                      </c:pt>
                      <c:pt idx="12">
                        <c:v>42005</c:v>
                      </c:pt>
                      <c:pt idx="13">
                        <c:v>42036</c:v>
                      </c:pt>
                      <c:pt idx="14">
                        <c:v>42064</c:v>
                      </c:pt>
                      <c:pt idx="15">
                        <c:v>42095</c:v>
                      </c:pt>
                      <c:pt idx="16">
                        <c:v>42125</c:v>
                      </c:pt>
                      <c:pt idx="17">
                        <c:v>42156</c:v>
                      </c:pt>
                      <c:pt idx="18">
                        <c:v>42186</c:v>
                      </c:pt>
                      <c:pt idx="19">
                        <c:v>42217</c:v>
                      </c:pt>
                      <c:pt idx="20">
                        <c:v>42248</c:v>
                      </c:pt>
                      <c:pt idx="21">
                        <c:v>42278</c:v>
                      </c:pt>
                      <c:pt idx="22">
                        <c:v>42309</c:v>
                      </c:pt>
                      <c:pt idx="23">
                        <c:v>42339</c:v>
                      </c:pt>
                      <c:pt idx="24">
                        <c:v>42370</c:v>
                      </c:pt>
                      <c:pt idx="25">
                        <c:v>42401</c:v>
                      </c:pt>
                      <c:pt idx="26">
                        <c:v>42430</c:v>
                      </c:pt>
                      <c:pt idx="27">
                        <c:v>42461</c:v>
                      </c:pt>
                      <c:pt idx="28">
                        <c:v>42491</c:v>
                      </c:pt>
                      <c:pt idx="29">
                        <c:v>42522</c:v>
                      </c:pt>
                      <c:pt idx="30">
                        <c:v>42552</c:v>
                      </c:pt>
                      <c:pt idx="31">
                        <c:v>42583</c:v>
                      </c:pt>
                      <c:pt idx="32">
                        <c:v>42614</c:v>
                      </c:pt>
                      <c:pt idx="33">
                        <c:v>42644</c:v>
                      </c:pt>
                      <c:pt idx="34">
                        <c:v>42675</c:v>
                      </c:pt>
                      <c:pt idx="35">
                        <c:v>42705</c:v>
                      </c:pt>
                      <c:pt idx="36">
                        <c:v>42736</c:v>
                      </c:pt>
                      <c:pt idx="37">
                        <c:v>42767</c:v>
                      </c:pt>
                      <c:pt idx="38">
                        <c:v>42795</c:v>
                      </c:pt>
                      <c:pt idx="39">
                        <c:v>42826</c:v>
                      </c:pt>
                      <c:pt idx="40">
                        <c:v>42856</c:v>
                      </c:pt>
                      <c:pt idx="41">
                        <c:v>42887</c:v>
                      </c:pt>
                      <c:pt idx="42">
                        <c:v>42917</c:v>
                      </c:pt>
                      <c:pt idx="43">
                        <c:v>42948</c:v>
                      </c:pt>
                      <c:pt idx="44">
                        <c:v>42979</c:v>
                      </c:pt>
                      <c:pt idx="45">
                        <c:v>43009</c:v>
                      </c:pt>
                      <c:pt idx="46">
                        <c:v>43040</c:v>
                      </c:pt>
                      <c:pt idx="47">
                        <c:v>43070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9D7-4BF1-952F-F3F07B4C27CC}"/>
                  </c:ext>
                </c:extLst>
              </c15:ser>
            </c15:filteredLineSeries>
          </c:ext>
        </c:extLst>
      </c:lineChart>
      <c:dateAx>
        <c:axId val="159081087"/>
        <c:scaling>
          <c:orientation val="minMax"/>
        </c:scaling>
        <c:delete val="0"/>
        <c:axPos val="b"/>
        <c:numFmt formatCode="mmm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81567"/>
        <c:crosses val="autoZero"/>
        <c:auto val="1"/>
        <c:lblOffset val="100"/>
        <c:baseTimeUnit val="months"/>
      </c:dateAx>
      <c:valAx>
        <c:axId val="15908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81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 vs Average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Discount!$C$2</c:f>
              <c:strCache>
                <c:ptCount val="1"/>
                <c:pt idx="0">
                  <c:v>Average_Profit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Discount!$B$3:$B$14</c:f>
              <c:numCache>
                <c:formatCode>General</c:formatCode>
                <c:ptCount val="12"/>
                <c:pt idx="0">
                  <c:v>0</c:v>
                </c:pt>
                <c:pt idx="1">
                  <c:v>0.10000000149011599</c:v>
                </c:pt>
                <c:pt idx="2">
                  <c:v>0.15000000596046401</c:v>
                </c:pt>
                <c:pt idx="3">
                  <c:v>0.20000000298023199</c:v>
                </c:pt>
                <c:pt idx="4">
                  <c:v>0.30000001192092901</c:v>
                </c:pt>
                <c:pt idx="5">
                  <c:v>0.31999999284744302</c:v>
                </c:pt>
                <c:pt idx="6">
                  <c:v>0.40000000596046398</c:v>
                </c:pt>
                <c:pt idx="7">
                  <c:v>0.44999998807907099</c:v>
                </c:pt>
                <c:pt idx="8">
                  <c:v>0.5</c:v>
                </c:pt>
                <c:pt idx="9">
                  <c:v>0.60000002384185802</c:v>
                </c:pt>
                <c:pt idx="10">
                  <c:v>0.69999998807907104</c:v>
                </c:pt>
                <c:pt idx="11">
                  <c:v>0.80000001192092896</c:v>
                </c:pt>
              </c:numCache>
            </c:numRef>
          </c:xVal>
          <c:yVal>
            <c:numRef>
              <c:f>Discount!$C$3:$C$14</c:f>
              <c:numCache>
                <c:formatCode>General</c:formatCode>
                <c:ptCount val="12"/>
                <c:pt idx="0">
                  <c:v>66.900000000000006</c:v>
                </c:pt>
                <c:pt idx="1">
                  <c:v>96.06</c:v>
                </c:pt>
                <c:pt idx="2">
                  <c:v>27.29</c:v>
                </c:pt>
                <c:pt idx="3">
                  <c:v>24.7</c:v>
                </c:pt>
                <c:pt idx="4">
                  <c:v>-45.68</c:v>
                </c:pt>
                <c:pt idx="5">
                  <c:v>-88.56</c:v>
                </c:pt>
                <c:pt idx="6">
                  <c:v>-111.93</c:v>
                </c:pt>
                <c:pt idx="7">
                  <c:v>-226.65</c:v>
                </c:pt>
                <c:pt idx="8">
                  <c:v>-310.7</c:v>
                </c:pt>
                <c:pt idx="9">
                  <c:v>-43.08</c:v>
                </c:pt>
                <c:pt idx="10">
                  <c:v>-95.87</c:v>
                </c:pt>
                <c:pt idx="11">
                  <c:v>-101.8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4F-463E-BAC5-646D116B2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140815"/>
        <c:axId val="154138895"/>
      </c:scatterChart>
      <c:valAx>
        <c:axId val="154140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38895"/>
        <c:crosses val="autoZero"/>
        <c:crossBetween val="midCat"/>
      </c:valAx>
      <c:valAx>
        <c:axId val="15413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40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Region!$C$2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Region!$B$3:$B$6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Region!$C$3:$C$6</c:f>
              <c:numCache>
                <c:formatCode>General</c:formatCode>
                <c:ptCount val="4"/>
                <c:pt idx="0">
                  <c:v>725457.82</c:v>
                </c:pt>
                <c:pt idx="1">
                  <c:v>678781.24</c:v>
                </c:pt>
                <c:pt idx="2">
                  <c:v>501239.89</c:v>
                </c:pt>
                <c:pt idx="3">
                  <c:v>391721.91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4B-4179-B1F8-611B48E10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3123807"/>
        <c:axId val="1973119487"/>
      </c:barChart>
      <c:catAx>
        <c:axId val="1973123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119487"/>
        <c:crosses val="autoZero"/>
        <c:auto val="1"/>
        <c:lblAlgn val="ctr"/>
        <c:lblOffset val="100"/>
        <c:noMultiLvlLbl val="0"/>
      </c:catAx>
      <c:valAx>
        <c:axId val="1973119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123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Category!$C$2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Category!$B$3:$B$5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Category!$C$3:$C$5</c:f>
              <c:numCache>
                <c:formatCode>General</c:formatCode>
                <c:ptCount val="3"/>
                <c:pt idx="0">
                  <c:v>836154.03</c:v>
                </c:pt>
                <c:pt idx="1">
                  <c:v>741999.79</c:v>
                </c:pt>
                <c:pt idx="2">
                  <c:v>719047.03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DD-4234-8A94-250E673E0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858255"/>
        <c:axId val="149852495"/>
      </c:barChart>
      <c:catAx>
        <c:axId val="14985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52495"/>
        <c:crosses val="autoZero"/>
        <c:auto val="1"/>
        <c:lblAlgn val="ctr"/>
        <c:lblOffset val="100"/>
        <c:noMultiLvlLbl val="0"/>
      </c:catAx>
      <c:valAx>
        <c:axId val="14985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5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Customer!$C$2</c:f>
              <c:strCache>
                <c:ptCount val="1"/>
                <c:pt idx="0">
                  <c:v>Total_Sales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Customer!$B$3:$B$5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Customer!$C$3:$C$5</c:f>
              <c:numCache>
                <c:formatCode>General</c:formatCode>
                <c:ptCount val="3"/>
                <c:pt idx="0">
                  <c:v>1161401.3400000001</c:v>
                </c:pt>
                <c:pt idx="1">
                  <c:v>706146.36</c:v>
                </c:pt>
                <c:pt idx="2">
                  <c:v>429653.15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8F-4B5D-92AC-53CB9D870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Sales'!$D$2</c:f>
              <c:strCache>
                <c:ptCount val="1"/>
                <c:pt idx="0">
                  <c:v>Monthly_Sales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'Monthly Sales'!$D$3:$D$50</c:f>
              <c:numCache>
                <c:formatCode>General</c:formatCode>
                <c:ptCount val="48"/>
                <c:pt idx="0">
                  <c:v>14236.89</c:v>
                </c:pt>
                <c:pt idx="1">
                  <c:v>4519.8900000000003</c:v>
                </c:pt>
                <c:pt idx="2">
                  <c:v>55691.01</c:v>
                </c:pt>
                <c:pt idx="3">
                  <c:v>28295.34</c:v>
                </c:pt>
                <c:pt idx="4">
                  <c:v>23648.29</c:v>
                </c:pt>
                <c:pt idx="5">
                  <c:v>34595.129999999997</c:v>
                </c:pt>
                <c:pt idx="6">
                  <c:v>33946.39</c:v>
                </c:pt>
                <c:pt idx="7">
                  <c:v>27909.47</c:v>
                </c:pt>
                <c:pt idx="8">
                  <c:v>81777.350000000006</c:v>
                </c:pt>
                <c:pt idx="9">
                  <c:v>31453.39</c:v>
                </c:pt>
                <c:pt idx="10">
                  <c:v>78628.72</c:v>
                </c:pt>
                <c:pt idx="11">
                  <c:v>69545.62</c:v>
                </c:pt>
                <c:pt idx="12">
                  <c:v>18174.080000000002</c:v>
                </c:pt>
                <c:pt idx="13">
                  <c:v>11951.41</c:v>
                </c:pt>
                <c:pt idx="14">
                  <c:v>38726.25</c:v>
                </c:pt>
                <c:pt idx="15">
                  <c:v>34195.21</c:v>
                </c:pt>
                <c:pt idx="16">
                  <c:v>30131.69</c:v>
                </c:pt>
                <c:pt idx="17">
                  <c:v>24797.29</c:v>
                </c:pt>
                <c:pt idx="18">
                  <c:v>28765.32</c:v>
                </c:pt>
                <c:pt idx="19">
                  <c:v>36898.33</c:v>
                </c:pt>
                <c:pt idx="20">
                  <c:v>64595.92</c:v>
                </c:pt>
                <c:pt idx="21">
                  <c:v>31404.92</c:v>
                </c:pt>
                <c:pt idx="22">
                  <c:v>75972.56</c:v>
                </c:pt>
                <c:pt idx="23">
                  <c:v>74919.520000000004</c:v>
                </c:pt>
                <c:pt idx="24">
                  <c:v>18542.490000000002</c:v>
                </c:pt>
                <c:pt idx="25">
                  <c:v>22978.82</c:v>
                </c:pt>
                <c:pt idx="26">
                  <c:v>51715.88</c:v>
                </c:pt>
                <c:pt idx="27">
                  <c:v>38750.04</c:v>
                </c:pt>
                <c:pt idx="28">
                  <c:v>56987.73</c:v>
                </c:pt>
                <c:pt idx="29">
                  <c:v>40344.53</c:v>
                </c:pt>
                <c:pt idx="30">
                  <c:v>39261.96</c:v>
                </c:pt>
                <c:pt idx="31">
                  <c:v>31115.37</c:v>
                </c:pt>
                <c:pt idx="32">
                  <c:v>73410.02</c:v>
                </c:pt>
                <c:pt idx="33">
                  <c:v>59687.74</c:v>
                </c:pt>
                <c:pt idx="34">
                  <c:v>79411.97</c:v>
                </c:pt>
                <c:pt idx="35">
                  <c:v>96999.039999999994</c:v>
                </c:pt>
                <c:pt idx="36">
                  <c:v>43971.37</c:v>
                </c:pt>
                <c:pt idx="37">
                  <c:v>20301.13</c:v>
                </c:pt>
                <c:pt idx="38">
                  <c:v>58872.35</c:v>
                </c:pt>
                <c:pt idx="39">
                  <c:v>36521.54</c:v>
                </c:pt>
                <c:pt idx="40">
                  <c:v>44261.11</c:v>
                </c:pt>
                <c:pt idx="41">
                  <c:v>52981.73</c:v>
                </c:pt>
                <c:pt idx="42">
                  <c:v>45264.42</c:v>
                </c:pt>
                <c:pt idx="43">
                  <c:v>63120.89</c:v>
                </c:pt>
                <c:pt idx="44">
                  <c:v>87866.65</c:v>
                </c:pt>
                <c:pt idx="45">
                  <c:v>77776.92</c:v>
                </c:pt>
                <c:pt idx="46">
                  <c:v>118447.82</c:v>
                </c:pt>
                <c:pt idx="47">
                  <c:v>83829.320000000007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2C-402A-B366-23100C096C6D}"/>
            </c:ext>
          </c:extLst>
        </c:ser>
        <c:ser>
          <c:idx val="1"/>
          <c:order val="1"/>
          <c:tx>
            <c:strRef>
              <c:f>'Monthly Sales'!$E$2</c:f>
              <c:strCache>
                <c:ptCount val="1"/>
                <c:pt idx="0">
                  <c:v>Month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'Monthly Sales'!$E$3:$E$50</c:f>
              <c:numCache>
                <c:formatCode>mmm/yyyy</c:formatCode>
                <c:ptCount val="48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2C-402A-B366-23100C096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081087"/>
        <c:axId val="159081567"/>
      </c:lineChart>
      <c:catAx>
        <c:axId val="159081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81567"/>
        <c:crosses val="autoZero"/>
        <c:auto val="1"/>
        <c:lblAlgn val="ctr"/>
        <c:lblOffset val="100"/>
        <c:noMultiLvlLbl val="0"/>
      </c:catAx>
      <c:valAx>
        <c:axId val="15908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81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Discount!$C$2</c:f>
              <c:strCache>
                <c:ptCount val="1"/>
                <c:pt idx="0">
                  <c:v>Average_Profit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Discount!$B$3:$B$14</c:f>
              <c:numCache>
                <c:formatCode>General</c:formatCode>
                <c:ptCount val="12"/>
                <c:pt idx="0">
                  <c:v>0</c:v>
                </c:pt>
                <c:pt idx="1">
                  <c:v>0.10000000149011599</c:v>
                </c:pt>
                <c:pt idx="2">
                  <c:v>0.15000000596046401</c:v>
                </c:pt>
                <c:pt idx="3">
                  <c:v>0.20000000298023199</c:v>
                </c:pt>
                <c:pt idx="4">
                  <c:v>0.30000001192092901</c:v>
                </c:pt>
                <c:pt idx="5">
                  <c:v>0.31999999284744302</c:v>
                </c:pt>
                <c:pt idx="6">
                  <c:v>0.40000000596046398</c:v>
                </c:pt>
                <c:pt idx="7">
                  <c:v>0.44999998807907099</c:v>
                </c:pt>
                <c:pt idx="8">
                  <c:v>0.5</c:v>
                </c:pt>
                <c:pt idx="9">
                  <c:v>0.60000002384185802</c:v>
                </c:pt>
                <c:pt idx="10">
                  <c:v>0.69999998807907104</c:v>
                </c:pt>
                <c:pt idx="11">
                  <c:v>0.80000001192092896</c:v>
                </c:pt>
              </c:numCache>
            </c:numRef>
          </c:xVal>
          <c:yVal>
            <c:numRef>
              <c:f>Discount!$C$3:$C$14</c:f>
              <c:numCache>
                <c:formatCode>General</c:formatCode>
                <c:ptCount val="12"/>
                <c:pt idx="0">
                  <c:v>66.900000000000006</c:v>
                </c:pt>
                <c:pt idx="1">
                  <c:v>96.06</c:v>
                </c:pt>
                <c:pt idx="2">
                  <c:v>27.29</c:v>
                </c:pt>
                <c:pt idx="3">
                  <c:v>24.7</c:v>
                </c:pt>
                <c:pt idx="4">
                  <c:v>-45.68</c:v>
                </c:pt>
                <c:pt idx="5">
                  <c:v>-88.56</c:v>
                </c:pt>
                <c:pt idx="6">
                  <c:v>-111.93</c:v>
                </c:pt>
                <c:pt idx="7">
                  <c:v>-226.65</c:v>
                </c:pt>
                <c:pt idx="8">
                  <c:v>-310.7</c:v>
                </c:pt>
                <c:pt idx="9">
                  <c:v>-43.08</c:v>
                </c:pt>
                <c:pt idx="10">
                  <c:v>-95.87</c:v>
                </c:pt>
                <c:pt idx="11">
                  <c:v>-101.8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80-4C1A-B719-EF3F8F7BE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140815"/>
        <c:axId val="154138895"/>
      </c:scatterChart>
      <c:valAx>
        <c:axId val="154140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38895"/>
        <c:crosses val="autoZero"/>
        <c:crossBetween val="midCat"/>
      </c:valAx>
      <c:valAx>
        <c:axId val="15413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40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291830</xdr:rowOff>
    </xdr:from>
    <xdr:to>
      <xdr:col>5</xdr:col>
      <xdr:colOff>16212</xdr:colOff>
      <xdr:row>15</xdr:row>
      <xdr:rowOff>32426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4F6476-1F1C-4E57-970F-D5C92E584A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16213</xdr:colOff>
      <xdr:row>4</xdr:row>
      <xdr:rowOff>8106</xdr:rowOff>
    </xdr:from>
    <xdr:to>
      <xdr:col>13</xdr:col>
      <xdr:colOff>1070043</xdr:colOff>
      <xdr:row>15</xdr:row>
      <xdr:rowOff>48639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DEBAD4-5F30-4DFE-BD92-09F88F13C5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389106</xdr:colOff>
      <xdr:row>4</xdr:row>
      <xdr:rowOff>24318</xdr:rowOff>
    </xdr:from>
    <xdr:to>
      <xdr:col>8</xdr:col>
      <xdr:colOff>616086</xdr:colOff>
      <xdr:row>15</xdr:row>
      <xdr:rowOff>48638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492DCE-6DA2-4521-AA19-8F1118BA9C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15</xdr:row>
      <xdr:rowOff>40533</xdr:rowOff>
    </xdr:from>
    <xdr:to>
      <xdr:col>5</xdr:col>
      <xdr:colOff>1005191</xdr:colOff>
      <xdr:row>28</xdr:row>
      <xdr:rowOff>8106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DCB26F-54A5-48C8-AFDC-F38F029A11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243192</xdr:colOff>
      <xdr:row>15</xdr:row>
      <xdr:rowOff>56745</xdr:rowOff>
    </xdr:from>
    <xdr:to>
      <xdr:col>13</xdr:col>
      <xdr:colOff>1061935</xdr:colOff>
      <xdr:row>28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8FD67DB-3310-4244-BA4B-611F537CE0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441960</xdr:colOff>
      <xdr:row>6</xdr:row>
      <xdr:rowOff>41910</xdr:rowOff>
    </xdr:from>
    <xdr:to>
      <xdr:col>15</xdr:col>
      <xdr:colOff>137160</xdr:colOff>
      <xdr:row>21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17B546-B8C2-6787-20EF-0FAC6B05F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449580</xdr:colOff>
      <xdr:row>2</xdr:row>
      <xdr:rowOff>171450</xdr:rowOff>
    </xdr:from>
    <xdr:to>
      <xdr:col>14</xdr:col>
      <xdr:colOff>144780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7B9A26-F111-CDFE-D0F9-FF7F7F6E6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373380</xdr:colOff>
      <xdr:row>0</xdr:row>
      <xdr:rowOff>140970</xdr:rowOff>
    </xdr:from>
    <xdr:to>
      <xdr:col>14</xdr:col>
      <xdr:colOff>68580</xdr:colOff>
      <xdr:row>15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D25952-A36E-D1DB-7BB6-C6ACA11FE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129540</xdr:colOff>
      <xdr:row>1</xdr:row>
      <xdr:rowOff>41910</xdr:rowOff>
    </xdr:from>
    <xdr:to>
      <xdr:col>14</xdr:col>
      <xdr:colOff>434340</xdr:colOff>
      <xdr:row>16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8515C9-FD92-D607-54A3-CD152258D2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6</xdr:row>
      <xdr:rowOff>41910</xdr:rowOff>
    </xdr:from>
    <xdr:to>
      <xdr:col>14</xdr:col>
      <xdr:colOff>327660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5CC7F5-6B86-B909-4DDF-8213D34FD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showGridLines="0" tabSelected="1" zoomScale="94" zoomScaleNormal="94" workbookViewId="0">
      <selection activeCell="H22" sqref="H22"/>
    </sheetView>
  </sheetViews>
  <sheetFormatPr defaultRowHeight="14.4" x14ac:dyDescent="0.3"/>
  <cols>
    <col min="1" max="14" width="15.77734375" customWidth="1"/>
    <col min="15" max="16" width="0" hidden="1" customWidth="1"/>
  </cols>
  <sheetData>
    <row r="1" spans="1:14" ht="14.4" customHeight="1" x14ac:dyDescent="0.3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4.4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4.4" customHeight="1" x14ac:dyDescent="0.35">
      <c r="A3" s="4" t="s">
        <v>24</v>
      </c>
      <c r="B3" s="5"/>
      <c r="C3" s="2"/>
      <c r="D3" s="4" t="s">
        <v>25</v>
      </c>
      <c r="E3" s="5"/>
      <c r="F3" s="2"/>
      <c r="G3" s="4" t="s">
        <v>26</v>
      </c>
      <c r="H3" s="5"/>
      <c r="I3" s="2"/>
      <c r="J3" s="4" t="s">
        <v>27</v>
      </c>
      <c r="K3" s="5"/>
      <c r="L3" s="2"/>
      <c r="M3" s="4" t="s">
        <v>28</v>
      </c>
      <c r="N3" s="5"/>
    </row>
    <row r="4" spans="1:14" ht="23.4" x14ac:dyDescent="0.45">
      <c r="A4" s="9">
        <v>2297200.86</v>
      </c>
      <c r="B4" s="10"/>
      <c r="C4" s="3"/>
      <c r="D4" s="9">
        <v>286397.02</v>
      </c>
      <c r="E4" s="10"/>
      <c r="F4" s="3"/>
      <c r="G4" s="7">
        <v>5009</v>
      </c>
      <c r="H4" s="8"/>
      <c r="I4" s="3"/>
      <c r="J4" s="7">
        <v>793</v>
      </c>
      <c r="K4" s="8"/>
      <c r="L4" s="3"/>
      <c r="M4" s="9">
        <v>458.61</v>
      </c>
      <c r="N4" s="10"/>
    </row>
  </sheetData>
  <mergeCells count="11">
    <mergeCell ref="D4:E4"/>
    <mergeCell ref="A4:B4"/>
    <mergeCell ref="A1:N2"/>
    <mergeCell ref="A3:B3"/>
    <mergeCell ref="D3:E3"/>
    <mergeCell ref="G3:H3"/>
    <mergeCell ref="J3:K3"/>
    <mergeCell ref="M3:N3"/>
    <mergeCell ref="M4:N4"/>
    <mergeCell ref="J4:K4"/>
    <mergeCell ref="G4:H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6811E-9C34-46B2-9432-EB24FDF3FA3C}">
  <dimension ref="B2:H3"/>
  <sheetViews>
    <sheetView workbookViewId="0">
      <selection activeCell="E19" sqref="E19"/>
    </sheetView>
  </sheetViews>
  <sheetFormatPr defaultRowHeight="14.4" x14ac:dyDescent="0.3"/>
  <cols>
    <col min="2" max="2" width="11" bestFit="1" customWidth="1"/>
    <col min="3" max="3" width="10.77734375" bestFit="1" customWidth="1"/>
    <col min="4" max="4" width="11.6640625" bestFit="1" customWidth="1"/>
    <col min="5" max="5" width="15" bestFit="1" customWidth="1"/>
    <col min="8" max="8" width="19" bestFit="1" customWidth="1"/>
  </cols>
  <sheetData>
    <row r="2" spans="2:8" x14ac:dyDescent="0.3">
      <c r="B2" t="s">
        <v>0</v>
      </c>
      <c r="C2" t="s">
        <v>1</v>
      </c>
      <c r="D2" t="s">
        <v>2</v>
      </c>
      <c r="E2" t="s">
        <v>3</v>
      </c>
      <c r="H2" t="s">
        <v>4</v>
      </c>
    </row>
    <row r="3" spans="2:8" x14ac:dyDescent="0.3">
      <c r="B3">
        <v>2297200.86</v>
      </c>
      <c r="C3">
        <v>286397.02</v>
      </c>
      <c r="D3">
        <v>5009</v>
      </c>
      <c r="E3">
        <v>793</v>
      </c>
      <c r="H3">
        <v>458.61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69A85-7CE2-496E-AF2A-05B875C85FED}">
  <dimension ref="B2:D6"/>
  <sheetViews>
    <sheetView topLeftCell="A2" workbookViewId="0">
      <selection activeCell="B2" sqref="B2:C6"/>
    </sheetView>
  </sheetViews>
  <sheetFormatPr defaultRowHeight="14.4" x14ac:dyDescent="0.3"/>
  <cols>
    <col min="2" max="2" width="6.88671875" bestFit="1" customWidth="1"/>
    <col min="3" max="3" width="10.33203125" bestFit="1" customWidth="1"/>
    <col min="4" max="4" width="10.77734375" bestFit="1" customWidth="1"/>
  </cols>
  <sheetData>
    <row r="2" spans="2:4" x14ac:dyDescent="0.3">
      <c r="B2" t="s">
        <v>5</v>
      </c>
      <c r="C2" t="s">
        <v>0</v>
      </c>
      <c r="D2" t="s">
        <v>1</v>
      </c>
    </row>
    <row r="3" spans="2:4" x14ac:dyDescent="0.3">
      <c r="B3" t="s">
        <v>6</v>
      </c>
      <c r="C3">
        <v>725457.82</v>
      </c>
      <c r="D3">
        <v>108418.45</v>
      </c>
    </row>
    <row r="4" spans="2:4" x14ac:dyDescent="0.3">
      <c r="B4" t="s">
        <v>7</v>
      </c>
      <c r="C4">
        <v>678781.24</v>
      </c>
      <c r="D4">
        <v>91522.78</v>
      </c>
    </row>
    <row r="5" spans="2:4" x14ac:dyDescent="0.3">
      <c r="B5" t="s">
        <v>8</v>
      </c>
      <c r="C5">
        <v>501239.89</v>
      </c>
      <c r="D5">
        <v>39706.36</v>
      </c>
    </row>
    <row r="6" spans="2:4" x14ac:dyDescent="0.3">
      <c r="B6" t="s">
        <v>9</v>
      </c>
      <c r="C6">
        <v>391721.91</v>
      </c>
      <c r="D6">
        <v>46749.43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45C8B-B1D6-4EA7-9077-48E0BE646F02}">
  <dimension ref="B2:D5"/>
  <sheetViews>
    <sheetView workbookViewId="0">
      <selection activeCell="S12" sqref="S12"/>
    </sheetView>
  </sheetViews>
  <sheetFormatPr defaultRowHeight="14.4" x14ac:dyDescent="0.3"/>
  <cols>
    <col min="2" max="2" width="13.109375" bestFit="1" customWidth="1"/>
    <col min="3" max="3" width="10.33203125" bestFit="1" customWidth="1"/>
    <col min="4" max="4" width="10.77734375" customWidth="1"/>
  </cols>
  <sheetData>
    <row r="2" spans="2:4" x14ac:dyDescent="0.3">
      <c r="B2" t="s">
        <v>10</v>
      </c>
      <c r="C2" t="s">
        <v>0</v>
      </c>
      <c r="D2" t="s">
        <v>1</v>
      </c>
    </row>
    <row r="3" spans="2:4" x14ac:dyDescent="0.3">
      <c r="B3" t="s">
        <v>11</v>
      </c>
      <c r="C3">
        <v>836154.03</v>
      </c>
      <c r="D3">
        <v>145454.95000000001</v>
      </c>
    </row>
    <row r="4" spans="2:4" x14ac:dyDescent="0.3">
      <c r="B4" t="s">
        <v>12</v>
      </c>
      <c r="C4">
        <v>741999.79</v>
      </c>
      <c r="D4">
        <v>18451.27</v>
      </c>
    </row>
    <row r="5" spans="2:4" x14ac:dyDescent="0.3">
      <c r="B5" t="s">
        <v>13</v>
      </c>
      <c r="C5">
        <v>719047.03</v>
      </c>
      <c r="D5">
        <v>122490.8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244AE-A587-4D50-9B4C-3A6E2E037132}">
  <dimension ref="B2:D5"/>
  <sheetViews>
    <sheetView workbookViewId="0">
      <selection activeCell="B2" sqref="B2:C5"/>
    </sheetView>
  </sheetViews>
  <sheetFormatPr defaultRowHeight="14.4" x14ac:dyDescent="0.3"/>
  <cols>
    <col min="2" max="2" width="11.33203125" bestFit="1" customWidth="1"/>
    <col min="3" max="3" width="11" bestFit="1" customWidth="1"/>
    <col min="4" max="4" width="10.77734375" bestFit="1" customWidth="1"/>
  </cols>
  <sheetData>
    <row r="2" spans="2:4" x14ac:dyDescent="0.3">
      <c r="B2" t="s">
        <v>14</v>
      </c>
      <c r="C2" t="s">
        <v>0</v>
      </c>
      <c r="D2" t="s">
        <v>1</v>
      </c>
    </row>
    <row r="3" spans="2:4" x14ac:dyDescent="0.3">
      <c r="B3" t="s">
        <v>15</v>
      </c>
      <c r="C3">
        <v>1161401.3400000001</v>
      </c>
      <c r="D3">
        <v>134119.21</v>
      </c>
    </row>
    <row r="4" spans="2:4" x14ac:dyDescent="0.3">
      <c r="B4" t="s">
        <v>16</v>
      </c>
      <c r="C4">
        <v>706146.36</v>
      </c>
      <c r="D4">
        <v>91979.13</v>
      </c>
    </row>
    <row r="5" spans="2:4" x14ac:dyDescent="0.3">
      <c r="B5" t="s">
        <v>17</v>
      </c>
      <c r="C5">
        <v>429653.15</v>
      </c>
      <c r="D5">
        <v>60298.68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67671-4E1E-49B2-8D45-2F220BBAC043}">
  <dimension ref="B2:E50"/>
  <sheetViews>
    <sheetView workbookViewId="0">
      <selection activeCell="G17" sqref="G17"/>
    </sheetView>
  </sheetViews>
  <sheetFormatPr defaultRowHeight="14.4" x14ac:dyDescent="0.3"/>
  <cols>
    <col min="2" max="2" width="9.77734375" bestFit="1" customWidth="1"/>
    <col min="3" max="3" width="11.5546875" bestFit="1" customWidth="1"/>
    <col min="4" max="4" width="12.88671875" bestFit="1" customWidth="1"/>
    <col min="5" max="5" width="14.21875" bestFit="1" customWidth="1"/>
  </cols>
  <sheetData>
    <row r="2" spans="2:5" x14ac:dyDescent="0.3">
      <c r="B2" t="s">
        <v>18</v>
      </c>
      <c r="C2" t="s">
        <v>19</v>
      </c>
      <c r="D2" t="s">
        <v>20</v>
      </c>
      <c r="E2" t="s">
        <v>29</v>
      </c>
    </row>
    <row r="3" spans="2:5" x14ac:dyDescent="0.3">
      <c r="B3">
        <v>2014</v>
      </c>
      <c r="C3">
        <v>1</v>
      </c>
      <c r="D3">
        <v>14236.89</v>
      </c>
      <c r="E3" s="6">
        <f>DATE(B3,C3,1)</f>
        <v>41640</v>
      </c>
    </row>
    <row r="4" spans="2:5" x14ac:dyDescent="0.3">
      <c r="B4">
        <v>2014</v>
      </c>
      <c r="C4">
        <v>2</v>
      </c>
      <c r="D4">
        <v>4519.8900000000003</v>
      </c>
      <c r="E4" s="6">
        <f t="shared" ref="E4:E50" si="0">DATE(B4,C4,1)</f>
        <v>41671</v>
      </c>
    </row>
    <row r="5" spans="2:5" x14ac:dyDescent="0.3">
      <c r="B5">
        <v>2014</v>
      </c>
      <c r="C5">
        <v>3</v>
      </c>
      <c r="D5">
        <v>55691.01</v>
      </c>
      <c r="E5" s="6">
        <f t="shared" si="0"/>
        <v>41699</v>
      </c>
    </row>
    <row r="6" spans="2:5" x14ac:dyDescent="0.3">
      <c r="B6">
        <v>2014</v>
      </c>
      <c r="C6">
        <v>4</v>
      </c>
      <c r="D6">
        <v>28295.34</v>
      </c>
      <c r="E6" s="6">
        <f t="shared" si="0"/>
        <v>41730</v>
      </c>
    </row>
    <row r="7" spans="2:5" x14ac:dyDescent="0.3">
      <c r="B7">
        <v>2014</v>
      </c>
      <c r="C7">
        <v>5</v>
      </c>
      <c r="D7">
        <v>23648.29</v>
      </c>
      <c r="E7" s="6">
        <f t="shared" si="0"/>
        <v>41760</v>
      </c>
    </row>
    <row r="8" spans="2:5" x14ac:dyDescent="0.3">
      <c r="B8">
        <v>2014</v>
      </c>
      <c r="C8">
        <v>6</v>
      </c>
      <c r="D8">
        <v>34595.129999999997</v>
      </c>
      <c r="E8" s="6">
        <f t="shared" si="0"/>
        <v>41791</v>
      </c>
    </row>
    <row r="9" spans="2:5" x14ac:dyDescent="0.3">
      <c r="B9">
        <v>2014</v>
      </c>
      <c r="C9">
        <v>7</v>
      </c>
      <c r="D9">
        <v>33946.39</v>
      </c>
      <c r="E9" s="6">
        <f t="shared" si="0"/>
        <v>41821</v>
      </c>
    </row>
    <row r="10" spans="2:5" x14ac:dyDescent="0.3">
      <c r="B10">
        <v>2014</v>
      </c>
      <c r="C10">
        <v>8</v>
      </c>
      <c r="D10">
        <v>27909.47</v>
      </c>
      <c r="E10" s="6">
        <f t="shared" si="0"/>
        <v>41852</v>
      </c>
    </row>
    <row r="11" spans="2:5" x14ac:dyDescent="0.3">
      <c r="B11">
        <v>2014</v>
      </c>
      <c r="C11">
        <v>9</v>
      </c>
      <c r="D11">
        <v>81777.350000000006</v>
      </c>
      <c r="E11" s="6">
        <f t="shared" si="0"/>
        <v>41883</v>
      </c>
    </row>
    <row r="12" spans="2:5" x14ac:dyDescent="0.3">
      <c r="B12">
        <v>2014</v>
      </c>
      <c r="C12">
        <v>10</v>
      </c>
      <c r="D12">
        <v>31453.39</v>
      </c>
      <c r="E12" s="6">
        <f t="shared" si="0"/>
        <v>41913</v>
      </c>
    </row>
    <row r="13" spans="2:5" x14ac:dyDescent="0.3">
      <c r="B13">
        <v>2014</v>
      </c>
      <c r="C13">
        <v>11</v>
      </c>
      <c r="D13">
        <v>78628.72</v>
      </c>
      <c r="E13" s="6">
        <f t="shared" si="0"/>
        <v>41944</v>
      </c>
    </row>
    <row r="14" spans="2:5" x14ac:dyDescent="0.3">
      <c r="B14">
        <v>2014</v>
      </c>
      <c r="C14">
        <v>12</v>
      </c>
      <c r="D14">
        <v>69545.62</v>
      </c>
      <c r="E14" s="6">
        <f t="shared" si="0"/>
        <v>41974</v>
      </c>
    </row>
    <row r="15" spans="2:5" x14ac:dyDescent="0.3">
      <c r="B15">
        <v>2015</v>
      </c>
      <c r="C15">
        <v>1</v>
      </c>
      <c r="D15">
        <v>18174.080000000002</v>
      </c>
      <c r="E15" s="6">
        <f t="shared" si="0"/>
        <v>42005</v>
      </c>
    </row>
    <row r="16" spans="2:5" x14ac:dyDescent="0.3">
      <c r="B16">
        <v>2015</v>
      </c>
      <c r="C16">
        <v>2</v>
      </c>
      <c r="D16">
        <v>11951.41</v>
      </c>
      <c r="E16" s="6">
        <f t="shared" si="0"/>
        <v>42036</v>
      </c>
    </row>
    <row r="17" spans="2:5" x14ac:dyDescent="0.3">
      <c r="B17">
        <v>2015</v>
      </c>
      <c r="C17">
        <v>3</v>
      </c>
      <c r="D17">
        <v>38726.25</v>
      </c>
      <c r="E17" s="6">
        <f t="shared" si="0"/>
        <v>42064</v>
      </c>
    </row>
    <row r="18" spans="2:5" x14ac:dyDescent="0.3">
      <c r="B18">
        <v>2015</v>
      </c>
      <c r="C18">
        <v>4</v>
      </c>
      <c r="D18">
        <v>34195.21</v>
      </c>
      <c r="E18" s="6">
        <f t="shared" si="0"/>
        <v>42095</v>
      </c>
    </row>
    <row r="19" spans="2:5" x14ac:dyDescent="0.3">
      <c r="B19">
        <v>2015</v>
      </c>
      <c r="C19">
        <v>5</v>
      </c>
      <c r="D19">
        <v>30131.69</v>
      </c>
      <c r="E19" s="6">
        <f t="shared" si="0"/>
        <v>42125</v>
      </c>
    </row>
    <row r="20" spans="2:5" x14ac:dyDescent="0.3">
      <c r="B20">
        <v>2015</v>
      </c>
      <c r="C20">
        <v>6</v>
      </c>
      <c r="D20">
        <v>24797.29</v>
      </c>
      <c r="E20" s="6">
        <f t="shared" si="0"/>
        <v>42156</v>
      </c>
    </row>
    <row r="21" spans="2:5" x14ac:dyDescent="0.3">
      <c r="B21">
        <v>2015</v>
      </c>
      <c r="C21">
        <v>7</v>
      </c>
      <c r="D21">
        <v>28765.32</v>
      </c>
      <c r="E21" s="6">
        <f t="shared" si="0"/>
        <v>42186</v>
      </c>
    </row>
    <row r="22" spans="2:5" x14ac:dyDescent="0.3">
      <c r="B22">
        <v>2015</v>
      </c>
      <c r="C22">
        <v>8</v>
      </c>
      <c r="D22">
        <v>36898.33</v>
      </c>
      <c r="E22" s="6">
        <f t="shared" si="0"/>
        <v>42217</v>
      </c>
    </row>
    <row r="23" spans="2:5" x14ac:dyDescent="0.3">
      <c r="B23">
        <v>2015</v>
      </c>
      <c r="C23">
        <v>9</v>
      </c>
      <c r="D23">
        <v>64595.92</v>
      </c>
      <c r="E23" s="6">
        <f t="shared" si="0"/>
        <v>42248</v>
      </c>
    </row>
    <row r="24" spans="2:5" x14ac:dyDescent="0.3">
      <c r="B24">
        <v>2015</v>
      </c>
      <c r="C24">
        <v>10</v>
      </c>
      <c r="D24">
        <v>31404.92</v>
      </c>
      <c r="E24" s="6">
        <f t="shared" si="0"/>
        <v>42278</v>
      </c>
    </row>
    <row r="25" spans="2:5" x14ac:dyDescent="0.3">
      <c r="B25">
        <v>2015</v>
      </c>
      <c r="C25">
        <v>11</v>
      </c>
      <c r="D25">
        <v>75972.56</v>
      </c>
      <c r="E25" s="6">
        <f t="shared" si="0"/>
        <v>42309</v>
      </c>
    </row>
    <row r="26" spans="2:5" x14ac:dyDescent="0.3">
      <c r="B26">
        <v>2015</v>
      </c>
      <c r="C26">
        <v>12</v>
      </c>
      <c r="D26">
        <v>74919.520000000004</v>
      </c>
      <c r="E26" s="6">
        <f t="shared" si="0"/>
        <v>42339</v>
      </c>
    </row>
    <row r="27" spans="2:5" x14ac:dyDescent="0.3">
      <c r="B27">
        <v>2016</v>
      </c>
      <c r="C27">
        <v>1</v>
      </c>
      <c r="D27">
        <v>18542.490000000002</v>
      </c>
      <c r="E27" s="6">
        <f t="shared" si="0"/>
        <v>42370</v>
      </c>
    </row>
    <row r="28" spans="2:5" x14ac:dyDescent="0.3">
      <c r="B28">
        <v>2016</v>
      </c>
      <c r="C28">
        <v>2</v>
      </c>
      <c r="D28">
        <v>22978.82</v>
      </c>
      <c r="E28" s="6">
        <f t="shared" si="0"/>
        <v>42401</v>
      </c>
    </row>
    <row r="29" spans="2:5" x14ac:dyDescent="0.3">
      <c r="B29">
        <v>2016</v>
      </c>
      <c r="C29">
        <v>3</v>
      </c>
      <c r="D29">
        <v>51715.88</v>
      </c>
      <c r="E29" s="6">
        <f t="shared" si="0"/>
        <v>42430</v>
      </c>
    </row>
    <row r="30" spans="2:5" x14ac:dyDescent="0.3">
      <c r="B30">
        <v>2016</v>
      </c>
      <c r="C30">
        <v>4</v>
      </c>
      <c r="D30">
        <v>38750.04</v>
      </c>
      <c r="E30" s="6">
        <f t="shared" si="0"/>
        <v>42461</v>
      </c>
    </row>
    <row r="31" spans="2:5" x14ac:dyDescent="0.3">
      <c r="B31">
        <v>2016</v>
      </c>
      <c r="C31">
        <v>5</v>
      </c>
      <c r="D31">
        <v>56987.73</v>
      </c>
      <c r="E31" s="6">
        <f t="shared" si="0"/>
        <v>42491</v>
      </c>
    </row>
    <row r="32" spans="2:5" x14ac:dyDescent="0.3">
      <c r="B32">
        <v>2016</v>
      </c>
      <c r="C32">
        <v>6</v>
      </c>
      <c r="D32">
        <v>40344.53</v>
      </c>
      <c r="E32" s="6">
        <f t="shared" si="0"/>
        <v>42522</v>
      </c>
    </row>
    <row r="33" spans="2:5" x14ac:dyDescent="0.3">
      <c r="B33">
        <v>2016</v>
      </c>
      <c r="C33">
        <v>7</v>
      </c>
      <c r="D33">
        <v>39261.96</v>
      </c>
      <c r="E33" s="6">
        <f t="shared" si="0"/>
        <v>42552</v>
      </c>
    </row>
    <row r="34" spans="2:5" x14ac:dyDescent="0.3">
      <c r="B34">
        <v>2016</v>
      </c>
      <c r="C34">
        <v>8</v>
      </c>
      <c r="D34">
        <v>31115.37</v>
      </c>
      <c r="E34" s="6">
        <f t="shared" si="0"/>
        <v>42583</v>
      </c>
    </row>
    <row r="35" spans="2:5" x14ac:dyDescent="0.3">
      <c r="B35">
        <v>2016</v>
      </c>
      <c r="C35">
        <v>9</v>
      </c>
      <c r="D35">
        <v>73410.02</v>
      </c>
      <c r="E35" s="6">
        <f t="shared" si="0"/>
        <v>42614</v>
      </c>
    </row>
    <row r="36" spans="2:5" x14ac:dyDescent="0.3">
      <c r="B36">
        <v>2016</v>
      </c>
      <c r="C36">
        <v>10</v>
      </c>
      <c r="D36">
        <v>59687.74</v>
      </c>
      <c r="E36" s="6">
        <f t="shared" si="0"/>
        <v>42644</v>
      </c>
    </row>
    <row r="37" spans="2:5" x14ac:dyDescent="0.3">
      <c r="B37">
        <v>2016</v>
      </c>
      <c r="C37">
        <v>11</v>
      </c>
      <c r="D37">
        <v>79411.97</v>
      </c>
      <c r="E37" s="6">
        <f t="shared" si="0"/>
        <v>42675</v>
      </c>
    </row>
    <row r="38" spans="2:5" x14ac:dyDescent="0.3">
      <c r="B38">
        <v>2016</v>
      </c>
      <c r="C38">
        <v>12</v>
      </c>
      <c r="D38">
        <v>96999.039999999994</v>
      </c>
      <c r="E38" s="6">
        <f t="shared" si="0"/>
        <v>42705</v>
      </c>
    </row>
    <row r="39" spans="2:5" x14ac:dyDescent="0.3">
      <c r="B39">
        <v>2017</v>
      </c>
      <c r="C39">
        <v>1</v>
      </c>
      <c r="D39">
        <v>43971.37</v>
      </c>
      <c r="E39" s="6">
        <f t="shared" si="0"/>
        <v>42736</v>
      </c>
    </row>
    <row r="40" spans="2:5" x14ac:dyDescent="0.3">
      <c r="B40">
        <v>2017</v>
      </c>
      <c r="C40">
        <v>2</v>
      </c>
      <c r="D40">
        <v>20301.13</v>
      </c>
      <c r="E40" s="6">
        <f t="shared" si="0"/>
        <v>42767</v>
      </c>
    </row>
    <row r="41" spans="2:5" x14ac:dyDescent="0.3">
      <c r="B41">
        <v>2017</v>
      </c>
      <c r="C41">
        <v>3</v>
      </c>
      <c r="D41">
        <v>58872.35</v>
      </c>
      <c r="E41" s="6">
        <f t="shared" si="0"/>
        <v>42795</v>
      </c>
    </row>
    <row r="42" spans="2:5" x14ac:dyDescent="0.3">
      <c r="B42">
        <v>2017</v>
      </c>
      <c r="C42">
        <v>4</v>
      </c>
      <c r="D42">
        <v>36521.54</v>
      </c>
      <c r="E42" s="6">
        <f t="shared" si="0"/>
        <v>42826</v>
      </c>
    </row>
    <row r="43" spans="2:5" x14ac:dyDescent="0.3">
      <c r="B43">
        <v>2017</v>
      </c>
      <c r="C43">
        <v>5</v>
      </c>
      <c r="D43">
        <v>44261.11</v>
      </c>
      <c r="E43" s="6">
        <f t="shared" si="0"/>
        <v>42856</v>
      </c>
    </row>
    <row r="44" spans="2:5" x14ac:dyDescent="0.3">
      <c r="B44">
        <v>2017</v>
      </c>
      <c r="C44">
        <v>6</v>
      </c>
      <c r="D44">
        <v>52981.73</v>
      </c>
      <c r="E44" s="6">
        <f t="shared" si="0"/>
        <v>42887</v>
      </c>
    </row>
    <row r="45" spans="2:5" x14ac:dyDescent="0.3">
      <c r="B45">
        <v>2017</v>
      </c>
      <c r="C45">
        <v>7</v>
      </c>
      <c r="D45">
        <v>45264.42</v>
      </c>
      <c r="E45" s="6">
        <f t="shared" si="0"/>
        <v>42917</v>
      </c>
    </row>
    <row r="46" spans="2:5" x14ac:dyDescent="0.3">
      <c r="B46">
        <v>2017</v>
      </c>
      <c r="C46">
        <v>8</v>
      </c>
      <c r="D46">
        <v>63120.89</v>
      </c>
      <c r="E46" s="6">
        <f t="shared" si="0"/>
        <v>42948</v>
      </c>
    </row>
    <row r="47" spans="2:5" x14ac:dyDescent="0.3">
      <c r="B47">
        <v>2017</v>
      </c>
      <c r="C47">
        <v>9</v>
      </c>
      <c r="D47">
        <v>87866.65</v>
      </c>
      <c r="E47" s="6">
        <f t="shared" si="0"/>
        <v>42979</v>
      </c>
    </row>
    <row r="48" spans="2:5" x14ac:dyDescent="0.3">
      <c r="B48">
        <v>2017</v>
      </c>
      <c r="C48">
        <v>10</v>
      </c>
      <c r="D48">
        <v>77776.92</v>
      </c>
      <c r="E48" s="6">
        <f t="shared" si="0"/>
        <v>43009</v>
      </c>
    </row>
    <row r="49" spans="2:5" x14ac:dyDescent="0.3">
      <c r="B49">
        <v>2017</v>
      </c>
      <c r="C49">
        <v>11</v>
      </c>
      <c r="D49">
        <v>118447.82</v>
      </c>
      <c r="E49" s="6">
        <f t="shared" si="0"/>
        <v>43040</v>
      </c>
    </row>
    <row r="50" spans="2:5" x14ac:dyDescent="0.3">
      <c r="B50">
        <v>2017</v>
      </c>
      <c r="C50">
        <v>12</v>
      </c>
      <c r="D50">
        <v>83829.320000000007</v>
      </c>
      <c r="E50" s="6">
        <f t="shared" si="0"/>
        <v>43070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D9586-88AE-453A-A6EB-D0F6DB0BB5E2}">
  <dimension ref="B2:C14"/>
  <sheetViews>
    <sheetView workbookViewId="0">
      <selection activeCell="B2" sqref="B2:C14"/>
    </sheetView>
  </sheetViews>
  <sheetFormatPr defaultRowHeight="14.4" x14ac:dyDescent="0.3"/>
  <cols>
    <col min="2" max="2" width="12" bestFit="1" customWidth="1"/>
    <col min="3" max="3" width="13.21875" bestFit="1" customWidth="1"/>
  </cols>
  <sheetData>
    <row r="2" spans="2:3" x14ac:dyDescent="0.3">
      <c r="B2" t="s">
        <v>21</v>
      </c>
      <c r="C2" t="s">
        <v>22</v>
      </c>
    </row>
    <row r="3" spans="2:3" x14ac:dyDescent="0.3">
      <c r="B3">
        <v>0</v>
      </c>
      <c r="C3">
        <v>66.900000000000006</v>
      </c>
    </row>
    <row r="4" spans="2:3" x14ac:dyDescent="0.3">
      <c r="B4">
        <v>0.10000000149011599</v>
      </c>
      <c r="C4">
        <v>96.06</v>
      </c>
    </row>
    <row r="5" spans="2:3" x14ac:dyDescent="0.3">
      <c r="B5">
        <v>0.15000000596046401</v>
      </c>
      <c r="C5">
        <v>27.29</v>
      </c>
    </row>
    <row r="6" spans="2:3" x14ac:dyDescent="0.3">
      <c r="B6">
        <v>0.20000000298023199</v>
      </c>
      <c r="C6">
        <v>24.7</v>
      </c>
    </row>
    <row r="7" spans="2:3" x14ac:dyDescent="0.3">
      <c r="B7">
        <v>0.30000001192092901</v>
      </c>
      <c r="C7">
        <v>-45.68</v>
      </c>
    </row>
    <row r="8" spans="2:3" x14ac:dyDescent="0.3">
      <c r="B8">
        <v>0.31999999284744302</v>
      </c>
      <c r="C8">
        <v>-88.56</v>
      </c>
    </row>
    <row r="9" spans="2:3" x14ac:dyDescent="0.3">
      <c r="B9">
        <v>0.40000000596046398</v>
      </c>
      <c r="C9">
        <v>-111.93</v>
      </c>
    </row>
    <row r="10" spans="2:3" x14ac:dyDescent="0.3">
      <c r="B10">
        <v>0.44999998807907099</v>
      </c>
      <c r="C10">
        <v>-226.65</v>
      </c>
    </row>
    <row r="11" spans="2:3" x14ac:dyDescent="0.3">
      <c r="B11">
        <v>0.5</v>
      </c>
      <c r="C11">
        <v>-310.7</v>
      </c>
    </row>
    <row r="12" spans="2:3" x14ac:dyDescent="0.3">
      <c r="B12">
        <v>0.60000002384185802</v>
      </c>
      <c r="C12">
        <v>-43.08</v>
      </c>
    </row>
    <row r="13" spans="2:3" x14ac:dyDescent="0.3">
      <c r="B13">
        <v>0.69999998807907104</v>
      </c>
      <c r="C13">
        <v>-95.87</v>
      </c>
    </row>
    <row r="14" spans="2:3" x14ac:dyDescent="0.3">
      <c r="B14">
        <v>0.80000001192092896</v>
      </c>
      <c r="C14">
        <v>-101.8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KPI</vt:lpstr>
      <vt:lpstr>Region</vt:lpstr>
      <vt:lpstr>Category</vt:lpstr>
      <vt:lpstr>Customer</vt:lpstr>
      <vt:lpstr>Monthly Sales</vt:lpstr>
      <vt:lpstr>Discount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Sharma</dc:creator>
  <cp:lastModifiedBy>Aayush Sharma</cp:lastModifiedBy>
  <dcterms:created xsi:type="dcterms:W3CDTF">2015-06-05T18:17:20Z</dcterms:created>
  <dcterms:modified xsi:type="dcterms:W3CDTF">2026-06-26T10:34:30Z</dcterms:modified>
</cp:coreProperties>
</file>